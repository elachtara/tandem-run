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<sst xmlns="http://schemas.openxmlformats.org/spreadsheetml/2006/main" count="279" uniqueCount="193">
  <si>
    <t>id</t>
  </si>
  <si>
    <t>name</t>
  </si>
  <si>
    <t>neighborhood</t>
  </si>
  <si>
    <t>starting_point</t>
  </si>
  <si>
    <t>distance_miles</t>
  </si>
  <si>
    <t>description</t>
  </si>
  <si>
    <t>map_link</t>
  </si>
  <si>
    <t>Heartbreak Hill</t>
  </si>
  <si>
    <t>Newton</t>
  </si>
  <si>
    <t>"Heartbreak Hill Running Company"</t>
  </si>
  <si>
    <t>Out and back, hilly</t>
  </si>
  <si>
    <t>Chestnut Hill Reservation</t>
  </si>
  <si>
    <t>Brighton</t>
  </si>
  <si>
    <t>"Chestnut Hill Reservation parking circle"</t>
  </si>
  <si>
    <t>Loop around pond</t>
  </si>
  <si>
    <t>Brookline</t>
  </si>
  <si>
    <t>Millennium Park</t>
  </si>
  <si>
    <t>West Roxbury</t>
  </si>
  <si>
    <t>"Millenium Park parking circle"</t>
  </si>
  <si>
    <t>Loop around park</t>
  </si>
  <si>
    <t>Hyde Park</t>
  </si>
  <si>
    <t>Roslindale</t>
  </si>
  <si>
    <t>Charles River Watertown</t>
  </si>
  <si>
    <t>Watertown</t>
  </si>
  <si>
    <t>"Watertown Square Terminal"</t>
  </si>
  <si>
    <t>Loop around the river</t>
  </si>
  <si>
    <t>Charles River Watertown 2</t>
  </si>
  <si>
    <t>"Arsenal Park parking circle"</t>
  </si>
  <si>
    <t>Charles River Brighton</t>
  </si>
  <si>
    <t>"Daily Field parking lot"</t>
  </si>
  <si>
    <t>Charles River Allston</t>
  </si>
  <si>
    <t>Allston</t>
  </si>
  <si>
    <t>"Herter Park parking lot"</t>
  </si>
  <si>
    <t>Charles River Allston 2</t>
  </si>
  <si>
    <t>"Baker lawn"</t>
  </si>
  <si>
    <t>Charles River West Cambridge</t>
  </si>
  <si>
    <t>West Cambridge</t>
  </si>
  <si>
    <t>"John F. Kennedy park"</t>
  </si>
  <si>
    <t>Charles River Mid Cambridge</t>
  </si>
  <si>
    <t>Mid Cambridge</t>
  </si>
  <si>
    <t>"Joan Lorentz Park"</t>
  </si>
  <si>
    <t>Charles River Harvard Square</t>
  </si>
  <si>
    <t>Harvard Square</t>
  </si>
  <si>
    <t>"Harvard Station"</t>
  </si>
  <si>
    <t>Charles River Cambridgeport</t>
  </si>
  <si>
    <t>Cambridgeport</t>
  </si>
  <si>
    <t>"Shell gas station parking lot"</t>
  </si>
  <si>
    <t>Charles River Fenway / Kenmore</t>
  </si>
  <si>
    <t>Fenway / Kenmore</t>
  </si>
  <si>
    <t>"Boston University Academy parking lot"</t>
  </si>
  <si>
    <t>Charles River Kendall Square</t>
  </si>
  <si>
    <t>Kendall Square</t>
  </si>
  <si>
    <t>"Hart Nautical gallery"</t>
  </si>
  <si>
    <t>Charles River Back Bay</t>
  </si>
  <si>
    <t>Back Bay</t>
  </si>
  <si>
    <t>"Fairfield and Marlborough St intersection"</t>
  </si>
  <si>
    <t>Charles River Back Bay 2</t>
  </si>
  <si>
    <t>Charles River Beacon Hill</t>
  </si>
  <si>
    <t>Beacon Hill</t>
  </si>
  <si>
    <t>"CVS near Charles MGH"</t>
  </si>
  <si>
    <t>Charles River West End</t>
  </si>
  <si>
    <t>West End</t>
  </si>
  <si>
    <t>"Museum of Science T.Rex"</t>
  </si>
  <si>
    <t>Charles River West End 2</t>
  </si>
  <si>
    <t>Charles River East Cambridge</t>
  </si>
  <si>
    <t>East Cambridge</t>
  </si>
  <si>
    <t>"North Point Park Playground"</t>
  </si>
  <si>
    <t>Charles River Charlestown</t>
  </si>
  <si>
    <t>Charlestown</t>
  </si>
  <si>
    <t>"Blackmoor"</t>
  </si>
  <si>
    <t>Charles River North End</t>
  </si>
  <si>
    <t>North End</t>
  </si>
  <si>
    <t>"Prince St Park Tennis Courts"</t>
  </si>
  <si>
    <t>Charles River Downtown</t>
  </si>
  <si>
    <t>Downtown</t>
  </si>
  <si>
    <t>Riverway Fenway / Kenmore</t>
  </si>
  <si>
    <t>Loop around the riverway</t>
  </si>
  <si>
    <t>Riverway Brookline</t>
  </si>
  <si>
    <t>"Brookline Avenue Playground"</t>
  </si>
  <si>
    <t>Jamaica Pond</t>
  </si>
  <si>
    <t>Jamaica Plain</t>
  </si>
  <si>
    <t>"Courageous Sailing at Jamaica Pond Boathouse"</t>
  </si>
  <si>
    <t>Arnold Arboretum</t>
  </si>
  <si>
    <t>"Hunnewell Visitor Center"</t>
  </si>
  <si>
    <t>Franklin Park</t>
  </si>
  <si>
    <t>Mattapan</t>
  </si>
  <si>
    <t>"William J. Devine Golf Course at Franklin Park parking lot"</t>
  </si>
  <si>
    <t>Roxbury</t>
  </si>
  <si>
    <t>Southwest Corridor Park</t>
  </si>
  <si>
    <t>Mission Hill</t>
  </si>
  <si>
    <t>"Reggie Lewis Athletic Center"</t>
  </si>
  <si>
    <t>Out and back</t>
  </si>
  <si>
    <t>Memorial Park</t>
  </si>
  <si>
    <t>East Boston</t>
  </si>
  <si>
    <t>"Memorial Park water fountain"</t>
  </si>
  <si>
    <t>Loop around the city</t>
  </si>
  <si>
    <t>Charlestown Harbor Walk</t>
  </si>
  <si>
    <t>"Tatte"</t>
  </si>
  <si>
    <t>Loop around the harbors</t>
  </si>
  <si>
    <t>North End Harbor Walk</t>
  </si>
  <si>
    <t>"Mother Annas"</t>
  </si>
  <si>
    <t>Downtwon Harbor Walk</t>
  </si>
  <si>
    <t>"James Hook &amp; Co"</t>
  </si>
  <si>
    <t>Seaport Harbor Walk</t>
  </si>
  <si>
    <t>Seaport</t>
  </si>
  <si>
    <t>"Barking Crab"</t>
  </si>
  <si>
    <t>East Boston Harbor Walk</t>
  </si>
  <si>
    <t>"Reel House"</t>
  </si>
  <si>
    <t>Castle Island</t>
  </si>
  <si>
    <t>South Boston</t>
  </si>
  <si>
    <t>"Sullivans"</t>
  </si>
  <si>
    <t>Loop around the castle</t>
  </si>
  <si>
    <t>South Boston Harbor Walk</t>
  </si>
  <si>
    <t>"Moakley Park Picnic Area"</t>
  </si>
  <si>
    <t>Out and back on the harbors</t>
  </si>
  <si>
    <t>UMass Harborwalk</t>
  </si>
  <si>
    <t>Dorchester</t>
  </si>
  <si>
    <t>"Malibu Beach paking lot"</t>
  </si>
  <si>
    <t>Loop around the harbor</t>
  </si>
  <si>
    <t>Squantam Point Park</t>
  </si>
  <si>
    <t>Quincy</t>
  </si>
  <si>
    <t>"Marina Bay Market"</t>
  </si>
  <si>
    <t>Loop around the park</t>
  </si>
  <si>
    <t>Quincy Shore</t>
  </si>
  <si>
    <t>"The Kennedy Center parking lot"</t>
  </si>
  <si>
    <t>Out and back on the shore</t>
  </si>
  <si>
    <t>Back River Walk</t>
  </si>
  <si>
    <t>Weymouth</t>
  </si>
  <si>
    <t>"CVS"</t>
  </si>
  <si>
    <t>Out and back on river</t>
  </si>
  <si>
    <t>Webb Memorial State Park</t>
  </si>
  <si>
    <t>"Webb Memorial State Park parking circle"</t>
  </si>
  <si>
    <t>World's End Loop</t>
  </si>
  <si>
    <t>Hingham</t>
  </si>
  <si>
    <t>"World's End Loop parking lot"</t>
  </si>
  <si>
    <t>Bare Cove Park</t>
  </si>
  <si>
    <t>"Bare Cove Park parking lot"</t>
  </si>
  <si>
    <t>Out and back in the park</t>
  </si>
  <si>
    <t>Dorchester Neponset River</t>
  </si>
  <si>
    <t>"Neponset River parking lot"</t>
  </si>
  <si>
    <t>Milton Neponset River</t>
  </si>
  <si>
    <t>Milton</t>
  </si>
  <si>
    <t>"Milton Station parking lot"</t>
  </si>
  <si>
    <t>Mattapan Neponset River</t>
  </si>
  <si>
    <t>"Ryan's Playground parking lot"</t>
  </si>
  <si>
    <t>Hyde Park Neponset River</t>
  </si>
  <si>
    <t>"Francis D. Martini Memorial Shell Park parking lot"</t>
  </si>
  <si>
    <t>Pond Meadow Park</t>
  </si>
  <si>
    <t>Braintree</t>
  </si>
  <si>
    <t>"Pond Meadow Park parking lot (470 Liberty St)"</t>
  </si>
  <si>
    <t>Public Garden</t>
  </si>
  <si>
    <t>South End</t>
  </si>
  <si>
    <t>"Beehive"</t>
  </si>
  <si>
    <t>Out and back around garden</t>
  </si>
  <si>
    <t>West Cambridge Fresh Pond</t>
  </si>
  <si>
    <t>"Kingsley Park parking lot"</t>
  </si>
  <si>
    <t>Porter Square Fresh Pond</t>
  </si>
  <si>
    <t>Porter Square</t>
  </si>
  <si>
    <t>"William G Maher park parking circle"</t>
  </si>
  <si>
    <t>Minuteman Bikeway</t>
  </si>
  <si>
    <t>North Cambridge</t>
  </si>
  <si>
    <t>"Alewife Station"</t>
  </si>
  <si>
    <t>Out and back on bikepath</t>
  </si>
  <si>
    <t>Argenziano Park</t>
  </si>
  <si>
    <t>Ball Square</t>
  </si>
  <si>
    <t>"Albert F. Argenziano School parking circle"</t>
  </si>
  <si>
    <t>Loop around the parks</t>
  </si>
  <si>
    <t>Cambridge and Binney St</t>
  </si>
  <si>
    <t>Inman Square</t>
  </si>
  <si>
    <t>"Cambridge Public Library Valente Branch"</t>
  </si>
  <si>
    <t>Loop to the river and back</t>
  </si>
  <si>
    <t>Winter Hill Somerville Community Path</t>
  </si>
  <si>
    <t>Winter Hill</t>
  </si>
  <si>
    <t>"Foss park parking lot"</t>
  </si>
  <si>
    <t>Out and back on path</t>
  </si>
  <si>
    <t>Davis Square Somerville Community Path</t>
  </si>
  <si>
    <t>Davis Square</t>
  </si>
  <si>
    <t>"Seven Hills Park"</t>
  </si>
  <si>
    <t>Magoun Square Somerville Community Path</t>
  </si>
  <si>
    <t>Magoun Square</t>
  </si>
  <si>
    <t>"Trum Field parking lot"</t>
  </si>
  <si>
    <t>Union Square Somerville Community Path</t>
  </si>
  <si>
    <t>Union Square</t>
  </si>
  <si>
    <t>"Prospect Hill tower"</t>
  </si>
  <si>
    <t>Assembly Row Loop</t>
  </si>
  <si>
    <t>Assembly Row</t>
  </si>
  <si>
    <t>"Earls"</t>
  </si>
  <si>
    <t>Mystic River Loop</t>
  </si>
  <si>
    <t>Medford</t>
  </si>
  <si>
    <t>"McGlynn Elementary School parking lot"</t>
  </si>
  <si>
    <t>Pine Bank Park</t>
  </si>
  <si>
    <t>Malden</t>
  </si>
  <si>
    <t>"Main and Forest St corner"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</si>
</sst>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3.25"/>
    <col customWidth="1" min="3" max="3" width="19.88"/>
    <col customWidth="1" min="4" max="4" width="46.88"/>
    <col customWidth="1" min="5" max="5" width="14.0"/>
    <col customWidth="1" min="6" max="6" width="21.75"/>
    <col customWidth="1" min="7" max="7" width="6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B2" s="2" t="s">
        <v>7</v>
      </c>
      <c r="C2" s="2" t="s">
        <v>8</v>
      </c>
      <c r="D2" s="2" t="s">
        <v>9</v>
      </c>
      <c r="E2" s="2">
        <v>5.17</v>
      </c>
      <c r="F2" s="2" t="s">
        <v>10</v>
      </c>
      <c r="G2" s="3" t="str">
        <f>IFERROR(__xludf.DUMMYFUNCTION("IF(B2="""", """", ""https://tandemrun.app/routes/"" &amp; LOWER(REGEXREPLACE(REGEXREPLACE(B2, ""[^a-zA-Z0-9 ]"", """"), "" +"", ""_"")) &amp; ""/"")"),"https://tandemrun.app/routes/heartbreak_hill/")</f>
        <v>https://tandemrun.app/routes/heartbreak_hill/</v>
      </c>
    </row>
    <row r="3">
      <c r="B3" s="2" t="s">
        <v>11</v>
      </c>
      <c r="C3" s="2" t="s">
        <v>12</v>
      </c>
      <c r="D3" s="2" t="s">
        <v>13</v>
      </c>
      <c r="E3" s="2">
        <v>1.56</v>
      </c>
      <c r="F3" s="2" t="s">
        <v>14</v>
      </c>
      <c r="G3" s="3" t="str">
        <f>IFERROR(__xludf.DUMMYFUNCTION("IF(B3="""", """", ""https://tandemrun.app/routes/"" &amp; LOWER(REGEXREPLACE(REGEXREPLACE(B3, ""[^a-zA-Z0-9 ]"", """"), "" +"", ""_"")) &amp; ""/"")"),"https://tandemrun.app/routes/chestnut_hill_reservation/")</f>
        <v>https://tandemrun.app/routes/chestnut_hill_reservation/</v>
      </c>
    </row>
    <row r="4">
      <c r="B4" s="2" t="s">
        <v>11</v>
      </c>
      <c r="C4" s="2" t="s">
        <v>8</v>
      </c>
      <c r="D4" s="2" t="s">
        <v>13</v>
      </c>
      <c r="E4" s="2">
        <v>1.56</v>
      </c>
      <c r="F4" s="2" t="s">
        <v>14</v>
      </c>
      <c r="G4" s="3" t="str">
        <f>IFERROR(__xludf.DUMMYFUNCTION("IF(B4="""", """", ""https://tandemrun.app/routes/"" &amp; LOWER(REGEXREPLACE(REGEXREPLACE(B4, ""[^a-zA-Z0-9 ]"", """"), "" +"", ""_"")) &amp; ""/"")"),"https://tandemrun.app/routes/chestnut_hill_reservation/")</f>
        <v>https://tandemrun.app/routes/chestnut_hill_reservation/</v>
      </c>
    </row>
    <row r="5">
      <c r="B5" s="2" t="s">
        <v>11</v>
      </c>
      <c r="C5" s="2" t="s">
        <v>15</v>
      </c>
      <c r="D5" s="2" t="s">
        <v>13</v>
      </c>
      <c r="E5" s="2">
        <v>1.56</v>
      </c>
      <c r="F5" s="2" t="s">
        <v>14</v>
      </c>
      <c r="G5" s="3" t="str">
        <f>IFERROR(__xludf.DUMMYFUNCTION("IF(B5="""", """", ""https://tandemrun.app/routes/"" &amp; LOWER(REGEXREPLACE(REGEXREPLACE(B5, ""[^a-zA-Z0-9 ]"", """"), "" +"", ""_"")) &amp; ""/"")"),"https://tandemrun.app/routes/chestnut_hill_reservation/")</f>
        <v>https://tandemrun.app/routes/chestnut_hill_reservation/</v>
      </c>
    </row>
    <row r="6">
      <c r="B6" s="2" t="s">
        <v>16</v>
      </c>
      <c r="C6" s="2" t="s">
        <v>17</v>
      </c>
      <c r="D6" s="2" t="s">
        <v>18</v>
      </c>
      <c r="E6" s="2">
        <v>3.26</v>
      </c>
      <c r="F6" s="2" t="s">
        <v>19</v>
      </c>
      <c r="G6" s="3" t="str">
        <f>IFERROR(__xludf.DUMMYFUNCTION("IF(B6="""", """", ""https://tandemrun.app/routes/"" &amp; LOWER(REGEXREPLACE(REGEXREPLACE(B6, ""[^a-zA-Z0-9 ]"", """"), "" +"", ""_"")) &amp; ""/"")"),"https://tandemrun.app/routes/millennium_park/")</f>
        <v>https://tandemrun.app/routes/millennium_park/</v>
      </c>
    </row>
    <row r="7">
      <c r="B7" s="2" t="s">
        <v>16</v>
      </c>
      <c r="C7" s="2" t="s">
        <v>20</v>
      </c>
      <c r="D7" s="2" t="s">
        <v>18</v>
      </c>
      <c r="E7" s="2">
        <v>3.26</v>
      </c>
      <c r="F7" s="2" t="s">
        <v>19</v>
      </c>
      <c r="G7" s="3" t="str">
        <f>IFERROR(__xludf.DUMMYFUNCTION("IF(B7="""", """", ""https://tandemrun.app/routes/"" &amp; LOWER(REGEXREPLACE(REGEXREPLACE(B7, ""[^a-zA-Z0-9 ]"", """"), "" +"", ""_"")) &amp; ""/"")"),"https://tandemrun.app/routes/millennium_park/")</f>
        <v>https://tandemrun.app/routes/millennium_park/</v>
      </c>
    </row>
    <row r="8">
      <c r="B8" s="2" t="s">
        <v>16</v>
      </c>
      <c r="C8" s="2" t="s">
        <v>21</v>
      </c>
      <c r="D8" s="2" t="s">
        <v>18</v>
      </c>
      <c r="E8" s="2">
        <v>3.26</v>
      </c>
      <c r="F8" s="2" t="s">
        <v>19</v>
      </c>
      <c r="G8" s="3" t="str">
        <f>IFERROR(__xludf.DUMMYFUNCTION("IF(B8="""", """", ""https://tandemrun.app/routes/"" &amp; LOWER(REGEXREPLACE(REGEXREPLACE(B8, ""[^a-zA-Z0-9 ]"", """"), "" +"", ""_"")) &amp; ""/"")"),"https://tandemrun.app/routes/millennium_park/")</f>
        <v>https://tandemrun.app/routes/millennium_park/</v>
      </c>
    </row>
    <row r="9">
      <c r="B9" s="2" t="s">
        <v>22</v>
      </c>
      <c r="C9" s="2" t="s">
        <v>23</v>
      </c>
      <c r="D9" s="2" t="s">
        <v>24</v>
      </c>
      <c r="E9" s="2">
        <v>3.26</v>
      </c>
      <c r="F9" s="2" t="s">
        <v>25</v>
      </c>
      <c r="G9" s="3" t="str">
        <f>IFERROR(__xludf.DUMMYFUNCTION("IF(B9="""", """", ""https://tandemrun.app/routes/"" &amp; LOWER(REGEXREPLACE(REGEXREPLACE(B9, ""[^a-zA-Z0-9 ]"", """"), "" +"", ""_"")) &amp; ""/"")"),"https://tandemrun.app/routes/charles_river_watertown/")</f>
        <v>https://tandemrun.app/routes/charles_river_watertown/</v>
      </c>
    </row>
    <row r="10">
      <c r="B10" s="2" t="s">
        <v>26</v>
      </c>
      <c r="C10" s="2" t="s">
        <v>23</v>
      </c>
      <c r="D10" s="2" t="s">
        <v>27</v>
      </c>
      <c r="E10" s="2">
        <v>2.36</v>
      </c>
      <c r="F10" s="2" t="s">
        <v>25</v>
      </c>
      <c r="G10" s="3" t="str">
        <f>IFERROR(__xludf.DUMMYFUNCTION("IF(B10="""", """", ""https://tandemrun.app/routes/"" &amp; LOWER(REGEXREPLACE(REGEXREPLACE(B10, ""[^a-zA-Z0-9 ]"", """"), "" +"", ""_"")) &amp; ""/"")"),"https://tandemrun.app/routes/charles_river_watertown_2/")</f>
        <v>https://tandemrun.app/routes/charles_river_watertown_2/</v>
      </c>
    </row>
    <row r="11">
      <c r="B11" s="2" t="s">
        <v>28</v>
      </c>
      <c r="C11" s="2" t="s">
        <v>12</v>
      </c>
      <c r="D11" s="2" t="s">
        <v>29</v>
      </c>
      <c r="E11" s="2">
        <v>2.3</v>
      </c>
      <c r="F11" s="2" t="s">
        <v>25</v>
      </c>
      <c r="G11" s="3" t="str">
        <f>IFERROR(__xludf.DUMMYFUNCTION("IF(B11="""", """", ""https://tandemrun.app/routes/"" &amp; LOWER(REGEXREPLACE(REGEXREPLACE(B11, ""[^a-zA-Z0-9 ]"", """"), "" +"", ""_"")) &amp; ""/"")"),"https://tandemrun.app/routes/charles_river_brighton/")</f>
        <v>https://tandemrun.app/routes/charles_river_brighton/</v>
      </c>
    </row>
    <row r="12">
      <c r="B12" s="2" t="s">
        <v>30</v>
      </c>
      <c r="C12" s="2" t="s">
        <v>31</v>
      </c>
      <c r="D12" s="2" t="s">
        <v>32</v>
      </c>
      <c r="E12" s="2">
        <v>2.84</v>
      </c>
      <c r="F12" s="2" t="s">
        <v>25</v>
      </c>
      <c r="G12" s="3" t="str">
        <f>IFERROR(__xludf.DUMMYFUNCTION("IF(B12="""", """", ""https://tandemrun.app/routes/"" &amp; LOWER(REGEXREPLACE(REGEXREPLACE(B12, ""[^a-zA-Z0-9 ]"", """"), "" +"", ""_"")) &amp; ""/"")"),"https://tandemrun.app/routes/charles_river_allston/")</f>
        <v>https://tandemrun.app/routes/charles_river_allston/</v>
      </c>
    </row>
    <row r="13">
      <c r="B13" s="2" t="s">
        <v>33</v>
      </c>
      <c r="C13" s="2" t="s">
        <v>31</v>
      </c>
      <c r="D13" s="2" t="s">
        <v>34</v>
      </c>
      <c r="E13" s="2">
        <v>1.6</v>
      </c>
      <c r="F13" s="2" t="s">
        <v>25</v>
      </c>
      <c r="G13" s="3" t="str">
        <f>IFERROR(__xludf.DUMMYFUNCTION("IF(B13="""", """", ""https://tandemrun.app/routes/"" &amp; LOWER(REGEXREPLACE(REGEXREPLACE(B13, ""[^a-zA-Z0-9 ]"", """"), "" +"", ""_"")) &amp; ""/"")"),"https://tandemrun.app/routes/charles_river_allston_2/")</f>
        <v>https://tandemrun.app/routes/charles_river_allston_2/</v>
      </c>
    </row>
    <row r="14">
      <c r="B14" s="2" t="s">
        <v>35</v>
      </c>
      <c r="C14" s="2" t="s">
        <v>36</v>
      </c>
      <c r="D14" s="2" t="s">
        <v>37</v>
      </c>
      <c r="E14" s="2">
        <v>2.08</v>
      </c>
      <c r="F14" s="2" t="s">
        <v>25</v>
      </c>
      <c r="G14" s="3" t="str">
        <f>IFERROR(__xludf.DUMMYFUNCTION("IF(B14="""", """", ""https://tandemrun.app/routes/"" &amp; LOWER(REGEXREPLACE(REGEXREPLACE(B14, ""[^a-zA-Z0-9 ]"", """"), "" +"", ""_"")) &amp; ""/"")"),"https://tandemrun.app/routes/charles_river_west_cambridge/")</f>
        <v>https://tandemrun.app/routes/charles_river_west_cambridge/</v>
      </c>
    </row>
    <row r="15">
      <c r="B15" s="2" t="s">
        <v>38</v>
      </c>
      <c r="C15" s="2" t="s">
        <v>39</v>
      </c>
      <c r="D15" s="2" t="s">
        <v>40</v>
      </c>
      <c r="E15" s="2">
        <v>2.63</v>
      </c>
      <c r="F15" s="2" t="s">
        <v>25</v>
      </c>
      <c r="G15" s="3" t="str">
        <f>IFERROR(__xludf.DUMMYFUNCTION("IF(B15="""", """", ""https://tandemrun.app/routes/"" &amp; LOWER(REGEXREPLACE(REGEXREPLACE(B15, ""[^a-zA-Z0-9 ]"", """"), "" +"", ""_"")) &amp; ""/"")"),"https://tandemrun.app/routes/charles_river_mid_cambridge/")</f>
        <v>https://tandemrun.app/routes/charles_river_mid_cambridge/</v>
      </c>
    </row>
    <row r="16">
      <c r="B16" s="2" t="s">
        <v>41</v>
      </c>
      <c r="C16" s="2" t="s">
        <v>42</v>
      </c>
      <c r="D16" s="2" t="s">
        <v>43</v>
      </c>
      <c r="E16" s="2">
        <v>1.91</v>
      </c>
      <c r="F16" s="2" t="s">
        <v>25</v>
      </c>
      <c r="G16" s="3" t="str">
        <f>IFERROR(__xludf.DUMMYFUNCTION("IF(B16="""", """", ""https://tandemrun.app/routes/"" &amp; LOWER(REGEXREPLACE(REGEXREPLACE(B16, ""[^a-zA-Z0-9 ]"", """"), "" +"", ""_"")) &amp; ""/"")"),"https://tandemrun.app/routes/charles_river_harvard_square/")</f>
        <v>https://tandemrun.app/routes/charles_river_harvard_square/</v>
      </c>
    </row>
    <row r="17">
      <c r="B17" s="2" t="s">
        <v>44</v>
      </c>
      <c r="C17" s="2" t="s">
        <v>45</v>
      </c>
      <c r="D17" s="2" t="s">
        <v>46</v>
      </c>
      <c r="E17" s="2">
        <v>2.29</v>
      </c>
      <c r="F17" s="2" t="s">
        <v>25</v>
      </c>
      <c r="G17" s="3" t="str">
        <f>IFERROR(__xludf.DUMMYFUNCTION("IF(B17="""", """", ""https://tandemrun.app/routes/"" &amp; LOWER(REGEXREPLACE(REGEXREPLACE(B17, ""[^a-zA-Z0-9 ]"", """"), "" +"", ""_"")) &amp; ""/"")"),"https://tandemrun.app/routes/charles_river_cambridgeport/")</f>
        <v>https://tandemrun.app/routes/charles_river_cambridgeport/</v>
      </c>
    </row>
    <row r="18">
      <c r="B18" s="2" t="s">
        <v>47</v>
      </c>
      <c r="C18" s="2" t="s">
        <v>48</v>
      </c>
      <c r="D18" s="2" t="s">
        <v>49</v>
      </c>
      <c r="E18" s="2">
        <v>2.82</v>
      </c>
      <c r="F18" s="2" t="s">
        <v>25</v>
      </c>
      <c r="G18" s="3" t="str">
        <f>IFERROR(__xludf.DUMMYFUNCTION("IF(B18="""", """", ""https://tandemrun.app/routes/"" &amp; LOWER(REGEXREPLACE(REGEXREPLACE(B18, ""[^a-zA-Z0-9 ]"", """"), "" +"", ""_"")) &amp; ""/"")"),"https://tandemrun.app/routes/charles_river_fenway_kenmore/")</f>
        <v>https://tandemrun.app/routes/charles_river_fenway_kenmore/</v>
      </c>
    </row>
    <row r="19">
      <c r="B19" s="2" t="s">
        <v>50</v>
      </c>
      <c r="C19" s="2" t="s">
        <v>51</v>
      </c>
      <c r="D19" s="2" t="s">
        <v>52</v>
      </c>
      <c r="E19" s="2">
        <v>3.31</v>
      </c>
      <c r="F19" s="2" t="s">
        <v>25</v>
      </c>
      <c r="G19" s="3" t="str">
        <f>IFERROR(__xludf.DUMMYFUNCTION("IF(B19="""", """", ""https://tandemrun.app/routes/"" &amp; LOWER(REGEXREPLACE(REGEXREPLACE(B19, ""[^a-zA-Z0-9 ]"", """"), "" +"", ""_"")) &amp; ""/"")"),"https://tandemrun.app/routes/charles_river_kendall_square/")</f>
        <v>https://tandemrun.app/routes/charles_river_kendall_square/</v>
      </c>
    </row>
    <row r="20">
      <c r="B20" s="2" t="s">
        <v>53</v>
      </c>
      <c r="C20" s="2" t="s">
        <v>54</v>
      </c>
      <c r="D20" s="2" t="s">
        <v>55</v>
      </c>
      <c r="E20" s="2">
        <v>3.5</v>
      </c>
      <c r="F20" s="2" t="s">
        <v>25</v>
      </c>
      <c r="G20" s="3" t="str">
        <f>IFERROR(__xludf.DUMMYFUNCTION("IF(B20="""", """", ""https://tandemrun.app/routes/"" &amp; LOWER(REGEXREPLACE(REGEXREPLACE(B20, ""[^a-zA-Z0-9 ]"", """"), "" +"", ""_"")) &amp; ""/"")"),"https://tandemrun.app/routes/charles_river_back_bay/")</f>
        <v>https://tandemrun.app/routes/charles_river_back_bay/</v>
      </c>
    </row>
    <row r="21">
      <c r="B21" s="2" t="s">
        <v>56</v>
      </c>
      <c r="C21" s="2" t="s">
        <v>54</v>
      </c>
      <c r="D21" s="2" t="s">
        <v>55</v>
      </c>
      <c r="E21" s="2">
        <v>2.0</v>
      </c>
      <c r="F21" s="2" t="s">
        <v>25</v>
      </c>
      <c r="G21" s="3" t="str">
        <f>IFERROR(__xludf.DUMMYFUNCTION("IF(B21="""", """", ""https://tandemrun.app/routes/"" &amp; LOWER(REGEXREPLACE(REGEXREPLACE(B21, ""[^a-zA-Z0-9 ]"", """"), "" +"", ""_"")) &amp; ""/"")"),"https://tandemrun.app/routes/charles_river_back_bay_2/")</f>
        <v>https://tandemrun.app/routes/charles_river_back_bay_2/</v>
      </c>
    </row>
    <row r="22">
      <c r="B22" s="2" t="s">
        <v>57</v>
      </c>
      <c r="C22" s="2" t="s">
        <v>58</v>
      </c>
      <c r="D22" s="2" t="s">
        <v>59</v>
      </c>
      <c r="E22" s="2">
        <v>3.0</v>
      </c>
      <c r="F22" s="2" t="s">
        <v>25</v>
      </c>
      <c r="G22" s="3" t="str">
        <f>IFERROR(__xludf.DUMMYFUNCTION("IF(B22="""", """", ""https://tandemrun.app/routes/"" &amp; LOWER(REGEXREPLACE(REGEXREPLACE(B22, ""[^a-zA-Z0-9 ]"", """"), "" +"", ""_"")) &amp; ""/"")"),"https://tandemrun.app/routes/charles_river_beacon_hill/")</f>
        <v>https://tandemrun.app/routes/charles_river_beacon_hill/</v>
      </c>
    </row>
    <row r="23">
      <c r="B23" s="2" t="s">
        <v>60</v>
      </c>
      <c r="C23" s="2" t="s">
        <v>61</v>
      </c>
      <c r="D23" s="2" t="s">
        <v>62</v>
      </c>
      <c r="E23" s="2">
        <v>3.83</v>
      </c>
      <c r="F23" s="2" t="s">
        <v>25</v>
      </c>
      <c r="G23" s="3" t="str">
        <f>IFERROR(__xludf.DUMMYFUNCTION("IF(B23="""", """", ""https://tandemrun.app/routes/"" &amp; LOWER(REGEXREPLACE(REGEXREPLACE(B23, ""[^a-zA-Z0-9 ]"", """"), "" +"", ""_"")) &amp; ""/"")"),"https://tandemrun.app/routes/charles_river_west_end/")</f>
        <v>https://tandemrun.app/routes/charles_river_west_end/</v>
      </c>
    </row>
    <row r="24">
      <c r="B24" s="2" t="s">
        <v>63</v>
      </c>
      <c r="C24" s="2" t="s">
        <v>61</v>
      </c>
      <c r="D24" s="2" t="s">
        <v>62</v>
      </c>
      <c r="E24" s="2">
        <v>1.92</v>
      </c>
      <c r="F24" s="2" t="s">
        <v>25</v>
      </c>
      <c r="G24" s="3" t="str">
        <f>IFERROR(__xludf.DUMMYFUNCTION("IF(B24="""", """", ""https://tandemrun.app/routes/"" &amp; LOWER(REGEXREPLACE(REGEXREPLACE(B24, ""[^a-zA-Z0-9 ]"", """"), "" +"", ""_"")) &amp; ""/"")"),"https://tandemrun.app/routes/charles_river_west_end_2/")</f>
        <v>https://tandemrun.app/routes/charles_river_west_end_2/</v>
      </c>
    </row>
    <row r="25">
      <c r="B25" s="2" t="s">
        <v>64</v>
      </c>
      <c r="C25" s="2" t="s">
        <v>65</v>
      </c>
      <c r="D25" s="2" t="s">
        <v>66</v>
      </c>
      <c r="E25" s="2">
        <v>2.31</v>
      </c>
      <c r="F25" s="2" t="s">
        <v>25</v>
      </c>
      <c r="G25" s="3" t="str">
        <f>IFERROR(__xludf.DUMMYFUNCTION("IF(B25="""", """", ""https://tandemrun.app/routes/"" &amp; LOWER(REGEXREPLACE(REGEXREPLACE(B25, ""[^a-zA-Z0-9 ]"", """"), "" +"", ""_"")) &amp; ""/"")"),"https://tandemrun.app/routes/charles_river_east_cambridge/")</f>
        <v>https://tandemrun.app/routes/charles_river_east_cambridge/</v>
      </c>
    </row>
    <row r="26">
      <c r="B26" s="2" t="s">
        <v>67</v>
      </c>
      <c r="C26" s="2" t="s">
        <v>68</v>
      </c>
      <c r="D26" s="2" t="s">
        <v>69</v>
      </c>
      <c r="E26" s="2">
        <v>3.49</v>
      </c>
      <c r="F26" s="2" t="s">
        <v>25</v>
      </c>
      <c r="G26" s="3" t="str">
        <f>IFERROR(__xludf.DUMMYFUNCTION("IF(B26="""", """", ""https://tandemrun.app/routes/"" &amp; LOWER(REGEXREPLACE(REGEXREPLACE(B26, ""[^a-zA-Z0-9 ]"", """"), "" +"", ""_"")) &amp; ""/"")"),"https://tandemrun.app/routes/charles_river_charlestown/")</f>
        <v>https://tandemrun.app/routes/charles_river_charlestown/</v>
      </c>
    </row>
    <row r="27">
      <c r="B27" s="2" t="s">
        <v>70</v>
      </c>
      <c r="C27" s="2" t="s">
        <v>71</v>
      </c>
      <c r="D27" s="2" t="s">
        <v>72</v>
      </c>
      <c r="E27" s="2">
        <v>3.49</v>
      </c>
      <c r="F27" s="2" t="s">
        <v>25</v>
      </c>
      <c r="G27" s="3" t="str">
        <f>IFERROR(__xludf.DUMMYFUNCTION("IF(B27="""", """", ""https://tandemrun.app/routes/"" &amp; LOWER(REGEXREPLACE(REGEXREPLACE(B27, ""[^a-zA-Z0-9 ]"", """"), "" +"", ""_"")) &amp; ""/"")"),"https://tandemrun.app/routes/charles_river_north_end/")</f>
        <v>https://tandemrun.app/routes/charles_river_north_end/</v>
      </c>
    </row>
    <row r="28">
      <c r="B28" s="2" t="s">
        <v>73</v>
      </c>
      <c r="C28" s="2" t="s">
        <v>74</v>
      </c>
      <c r="D28" s="2" t="s">
        <v>72</v>
      </c>
      <c r="E28" s="2">
        <v>3.49</v>
      </c>
      <c r="F28" s="2" t="s">
        <v>25</v>
      </c>
      <c r="G28" s="3" t="str">
        <f>IFERROR(__xludf.DUMMYFUNCTION("IF(B28="""", """", ""https://tandemrun.app/routes/"" &amp; LOWER(REGEXREPLACE(REGEXREPLACE(B28, ""[^a-zA-Z0-9 ]"", """"), "" +"", ""_"")) &amp; ""/"")"),"https://tandemrun.app/routes/charles_river_downtown/")</f>
        <v>https://tandemrun.app/routes/charles_river_downtown/</v>
      </c>
    </row>
    <row r="29">
      <c r="B29" s="2" t="s">
        <v>75</v>
      </c>
      <c r="C29" s="2" t="s">
        <v>48</v>
      </c>
      <c r="D29" s="2" t="s">
        <v>49</v>
      </c>
      <c r="E29" s="2">
        <v>2.8</v>
      </c>
      <c r="F29" s="2" t="s">
        <v>76</v>
      </c>
      <c r="G29" s="3" t="str">
        <f>IFERROR(__xludf.DUMMYFUNCTION("IF(B29="""", """", ""https://tandemrun.app/routes/"" &amp; LOWER(REGEXREPLACE(REGEXREPLACE(B29, ""[^a-zA-Z0-9 ]"", """"), "" +"", ""_"")) &amp; ""/"")"),"https://tandemrun.app/routes/riverway_fenway_kenmore/")</f>
        <v>https://tandemrun.app/routes/riverway_fenway_kenmore/</v>
      </c>
    </row>
    <row r="30">
      <c r="B30" s="2" t="s">
        <v>77</v>
      </c>
      <c r="C30" s="2" t="s">
        <v>15</v>
      </c>
      <c r="D30" s="2" t="s">
        <v>78</v>
      </c>
      <c r="E30" s="2">
        <v>1.88</v>
      </c>
      <c r="F30" s="2" t="s">
        <v>76</v>
      </c>
      <c r="G30" s="3" t="str">
        <f>IFERROR(__xludf.DUMMYFUNCTION("IF(B30="""", """", ""https://tandemrun.app/routes/"" &amp; LOWER(REGEXREPLACE(REGEXREPLACE(B30, ""[^a-zA-Z0-9 ]"", """"), "" +"", ""_"")) &amp; ""/"")"),"https://tandemrun.app/routes/riverway_brookline/")</f>
        <v>https://tandemrun.app/routes/riverway_brookline/</v>
      </c>
    </row>
    <row r="31">
      <c r="B31" s="2" t="s">
        <v>79</v>
      </c>
      <c r="C31" s="2" t="s">
        <v>80</v>
      </c>
      <c r="D31" s="2" t="s">
        <v>81</v>
      </c>
      <c r="E31" s="2">
        <v>1.47</v>
      </c>
      <c r="F31" s="2" t="s">
        <v>14</v>
      </c>
      <c r="G31" s="3" t="str">
        <f>IFERROR(__xludf.DUMMYFUNCTION("IF(B31="""", """", ""https://tandemrun.app/routes/"" &amp; LOWER(REGEXREPLACE(REGEXREPLACE(B31, ""[^a-zA-Z0-9 ]"", """"), "" +"", ""_"")) &amp; ""/"")"),"https://tandemrun.app/routes/jamaica_pond/")</f>
        <v>https://tandemrun.app/routes/jamaica_pond/</v>
      </c>
    </row>
    <row r="32">
      <c r="B32" s="2" t="s">
        <v>82</v>
      </c>
      <c r="C32" s="2" t="s">
        <v>80</v>
      </c>
      <c r="D32" s="2" t="s">
        <v>83</v>
      </c>
      <c r="E32" s="2">
        <v>3.59</v>
      </c>
      <c r="F32" s="2" t="s">
        <v>19</v>
      </c>
      <c r="G32" s="3" t="str">
        <f>IFERROR(__xludf.DUMMYFUNCTION("IF(B32="""", """", ""https://tandemrun.app/routes/"" &amp; LOWER(REGEXREPLACE(REGEXREPLACE(B32, ""[^a-zA-Z0-9 ]"", """"), "" +"", ""_"")) &amp; ""/"")"),"https://tandemrun.app/routes/arnold_arboretum/")</f>
        <v>https://tandemrun.app/routes/arnold_arboretum/</v>
      </c>
    </row>
    <row r="33">
      <c r="B33" s="2" t="s">
        <v>84</v>
      </c>
      <c r="C33" s="2" t="s">
        <v>85</v>
      </c>
      <c r="D33" s="2" t="s">
        <v>86</v>
      </c>
      <c r="E33" s="2">
        <v>3.26</v>
      </c>
      <c r="F33" s="2" t="s">
        <v>19</v>
      </c>
      <c r="G33" s="3" t="str">
        <f>IFERROR(__xludf.DUMMYFUNCTION("IF(B33="""", """", ""https://tandemrun.app/routes/"" &amp; LOWER(REGEXREPLACE(REGEXREPLACE(B33, ""[^a-zA-Z0-9 ]"", """"), "" +"", ""_"")) &amp; ""/"")"),"https://tandemrun.app/routes/franklin_park/")</f>
        <v>https://tandemrun.app/routes/franklin_park/</v>
      </c>
    </row>
    <row r="34">
      <c r="B34" s="2" t="s">
        <v>84</v>
      </c>
      <c r="C34" s="2" t="s">
        <v>87</v>
      </c>
      <c r="D34" s="2" t="s">
        <v>86</v>
      </c>
      <c r="E34" s="2">
        <v>3.26</v>
      </c>
      <c r="F34" s="2" t="s">
        <v>19</v>
      </c>
      <c r="G34" s="3" t="str">
        <f>IFERROR(__xludf.DUMMYFUNCTION("IF(B34="""", """", ""https://tandemrun.app/routes/"" &amp; LOWER(REGEXREPLACE(REGEXREPLACE(B34, ""[^a-zA-Z0-9 ]"", """"), "" +"", ""_"")) &amp; ""/"")"),"https://tandemrun.app/routes/franklin_park/")</f>
        <v>https://tandemrun.app/routes/franklin_park/</v>
      </c>
    </row>
    <row r="35">
      <c r="B35" s="2" t="s">
        <v>88</v>
      </c>
      <c r="C35" s="2" t="s">
        <v>89</v>
      </c>
      <c r="D35" s="2" t="s">
        <v>90</v>
      </c>
      <c r="E35" s="2">
        <v>3.03</v>
      </c>
      <c r="F35" s="2" t="s">
        <v>91</v>
      </c>
      <c r="G35" s="3" t="str">
        <f>IFERROR(__xludf.DUMMYFUNCTION("IF(B35="""", """", ""https://tandemrun.app/routes/"" &amp; LOWER(REGEXREPLACE(REGEXREPLACE(B35, ""[^a-zA-Z0-9 ]"", """"), "" +"", ""_"")) &amp; ""/"")"),"https://tandemrun.app/routes/southwest_corridor_park/")</f>
        <v>https://tandemrun.app/routes/southwest_corridor_park/</v>
      </c>
    </row>
    <row r="36">
      <c r="B36" s="2" t="s">
        <v>88</v>
      </c>
      <c r="C36" s="2" t="s">
        <v>87</v>
      </c>
      <c r="D36" s="2" t="s">
        <v>90</v>
      </c>
      <c r="E36" s="2">
        <v>3.03</v>
      </c>
      <c r="F36" s="2" t="s">
        <v>91</v>
      </c>
      <c r="G36" s="3" t="str">
        <f>IFERROR(__xludf.DUMMYFUNCTION("IF(B36="""", """", ""https://tandemrun.app/routes/"" &amp; LOWER(REGEXREPLACE(REGEXREPLACE(B36, ""[^a-zA-Z0-9 ]"", """"), "" +"", ""_"")) &amp; ""/"")"),"https://tandemrun.app/routes/southwest_corridor_park/")</f>
        <v>https://tandemrun.app/routes/southwest_corridor_park/</v>
      </c>
    </row>
    <row r="37">
      <c r="B37" s="2" t="s">
        <v>92</v>
      </c>
      <c r="C37" s="2" t="s">
        <v>93</v>
      </c>
      <c r="D37" s="2" t="s">
        <v>94</v>
      </c>
      <c r="E37" s="2">
        <v>2.53</v>
      </c>
      <c r="F37" s="2" t="s">
        <v>95</v>
      </c>
      <c r="G37" s="3" t="str">
        <f>IFERROR(__xludf.DUMMYFUNCTION("IF(B37="""", """", ""https://tandemrun.app/routes/"" &amp; LOWER(REGEXREPLACE(REGEXREPLACE(B37, ""[^a-zA-Z0-9 ]"", """"), "" +"", ""_"")) &amp; ""/"")"),"https://tandemrun.app/routes/memorial_park/")</f>
        <v>https://tandemrun.app/routes/memorial_park/</v>
      </c>
    </row>
    <row r="38">
      <c r="B38" s="2" t="s">
        <v>96</v>
      </c>
      <c r="C38" s="2" t="s">
        <v>68</v>
      </c>
      <c r="D38" s="2" t="s">
        <v>97</v>
      </c>
      <c r="E38" s="2">
        <v>3.94</v>
      </c>
      <c r="F38" s="2" t="s">
        <v>98</v>
      </c>
      <c r="G38" s="3" t="str">
        <f>IFERROR(__xludf.DUMMYFUNCTION("IF(B38="""", """", ""https://tandemrun.app/routes/"" &amp; LOWER(REGEXREPLACE(REGEXREPLACE(B38, ""[^a-zA-Z0-9 ]"", """"), "" +"", ""_"")) &amp; ""/"")"),"https://tandemrun.app/routes/charlestown_harbor_walk/")</f>
        <v>https://tandemrun.app/routes/charlestown_harbor_walk/</v>
      </c>
    </row>
    <row r="39">
      <c r="B39" s="2" t="s">
        <v>99</v>
      </c>
      <c r="C39" s="2" t="s">
        <v>71</v>
      </c>
      <c r="D39" s="2" t="s">
        <v>100</v>
      </c>
      <c r="E39" s="2">
        <v>2.68</v>
      </c>
      <c r="F39" s="2" t="s">
        <v>98</v>
      </c>
      <c r="G39" s="3" t="str">
        <f>IFERROR(__xludf.DUMMYFUNCTION("IF(B39="""", """", ""https://tandemrun.app/routes/"" &amp; LOWER(REGEXREPLACE(REGEXREPLACE(B39, ""[^a-zA-Z0-9 ]"", """"), "" +"", ""_"")) &amp; ""/"")"),"https://tandemrun.app/routes/north_end_harbor_walk/")</f>
        <v>https://tandemrun.app/routes/north_end_harbor_walk/</v>
      </c>
    </row>
    <row r="40">
      <c r="B40" s="2" t="s">
        <v>101</v>
      </c>
      <c r="C40" s="2" t="s">
        <v>74</v>
      </c>
      <c r="D40" s="2" t="s">
        <v>102</v>
      </c>
      <c r="E40" s="2">
        <v>2.14</v>
      </c>
      <c r="F40" s="2" t="s">
        <v>98</v>
      </c>
      <c r="G40" s="3" t="str">
        <f>IFERROR(__xludf.DUMMYFUNCTION("IF(B40="""", """", ""https://tandemrun.app/routes/"" &amp; LOWER(REGEXREPLACE(REGEXREPLACE(B40, ""[^a-zA-Z0-9 ]"", """"), "" +"", ""_"")) &amp; ""/"")"),"https://tandemrun.app/routes/downtwon_harbor_walk/")</f>
        <v>https://tandemrun.app/routes/downtwon_harbor_walk/</v>
      </c>
    </row>
    <row r="41">
      <c r="B41" s="2" t="s">
        <v>103</v>
      </c>
      <c r="C41" s="2" t="s">
        <v>104</v>
      </c>
      <c r="D41" s="2" t="s">
        <v>105</v>
      </c>
      <c r="E41" s="2">
        <v>2.43</v>
      </c>
      <c r="F41" s="2" t="s">
        <v>98</v>
      </c>
      <c r="G41" s="3" t="str">
        <f>IFERROR(__xludf.DUMMYFUNCTION("IF(B41="""", """", ""https://tandemrun.app/routes/"" &amp; LOWER(REGEXREPLACE(REGEXREPLACE(B41, ""[^a-zA-Z0-9 ]"", """"), "" +"", ""_"")) &amp; ""/"")"),"https://tandemrun.app/routes/seaport_harbor_walk/")</f>
        <v>https://tandemrun.app/routes/seaport_harbor_walk/</v>
      </c>
    </row>
    <row r="42">
      <c r="B42" s="2" t="s">
        <v>106</v>
      </c>
      <c r="C42" s="2" t="s">
        <v>93</v>
      </c>
      <c r="D42" s="2" t="s">
        <v>107</v>
      </c>
      <c r="E42" s="2">
        <v>2.42</v>
      </c>
      <c r="F42" s="2" t="s">
        <v>98</v>
      </c>
      <c r="G42" s="3" t="str">
        <f>IFERROR(__xludf.DUMMYFUNCTION("IF(B42="""", """", ""https://tandemrun.app/routes/"" &amp; LOWER(REGEXREPLACE(REGEXREPLACE(B42, ""[^a-zA-Z0-9 ]"", """"), "" +"", ""_"")) &amp; ""/"")"),"https://tandemrun.app/routes/east_boston_harbor_walk/")</f>
        <v>https://tandemrun.app/routes/east_boston_harbor_walk/</v>
      </c>
    </row>
    <row r="43">
      <c r="B43" s="2" t="s">
        <v>108</v>
      </c>
      <c r="C43" s="2" t="s">
        <v>109</v>
      </c>
      <c r="D43" s="2" t="s">
        <v>110</v>
      </c>
      <c r="E43" s="2">
        <v>2.61</v>
      </c>
      <c r="F43" s="2" t="s">
        <v>111</v>
      </c>
      <c r="G43" s="3" t="str">
        <f>IFERROR(__xludf.DUMMYFUNCTION("IF(B43="""", """", ""https://tandemrun.app/routes/"" &amp; LOWER(REGEXREPLACE(REGEXREPLACE(B43, ""[^a-zA-Z0-9 ]"", """"), "" +"", ""_"")) &amp; ""/"")"),"https://tandemrun.app/routes/castle_island/")</f>
        <v>https://tandemrun.app/routes/castle_island/</v>
      </c>
    </row>
    <row r="44">
      <c r="B44" s="2" t="s">
        <v>112</v>
      </c>
      <c r="C44" s="2" t="s">
        <v>109</v>
      </c>
      <c r="D44" s="2" t="s">
        <v>113</v>
      </c>
      <c r="E44" s="2">
        <v>3.92</v>
      </c>
      <c r="F44" s="2" t="s">
        <v>114</v>
      </c>
      <c r="G44" s="3" t="str">
        <f>IFERROR(__xludf.DUMMYFUNCTION("IF(B44="""", """", ""https://tandemrun.app/routes/"" &amp; LOWER(REGEXREPLACE(REGEXREPLACE(B44, ""[^a-zA-Z0-9 ]"", """"), "" +"", ""_"")) &amp; ""/"")"),"https://tandemrun.app/routes/south_boston_harbor_walk/")</f>
        <v>https://tandemrun.app/routes/south_boston_harbor_walk/</v>
      </c>
    </row>
    <row r="45">
      <c r="B45" s="2" t="s">
        <v>115</v>
      </c>
      <c r="C45" s="2" t="s">
        <v>116</v>
      </c>
      <c r="D45" s="2" t="s">
        <v>117</v>
      </c>
      <c r="E45" s="2">
        <v>4.3</v>
      </c>
      <c r="F45" s="2" t="s">
        <v>118</v>
      </c>
      <c r="G45" s="3" t="str">
        <f>IFERROR(__xludf.DUMMYFUNCTION("IF(B45="""", """", ""https://tandemrun.app/routes/"" &amp; LOWER(REGEXREPLACE(REGEXREPLACE(B45, ""[^a-zA-Z0-9 ]"", """"), "" +"", ""_"")) &amp; ""/"")"),"https://tandemrun.app/routes/umass_harborwalk/")</f>
        <v>https://tandemrun.app/routes/umass_harborwalk/</v>
      </c>
    </row>
    <row r="46">
      <c r="B46" s="2" t="s">
        <v>119</v>
      </c>
      <c r="C46" s="2" t="s">
        <v>120</v>
      </c>
      <c r="D46" s="2" t="s">
        <v>121</v>
      </c>
      <c r="E46" s="2">
        <v>1.74</v>
      </c>
      <c r="F46" s="2" t="s">
        <v>122</v>
      </c>
      <c r="G46" s="3" t="str">
        <f>IFERROR(__xludf.DUMMYFUNCTION("IF(B46="""", """", ""https://tandemrun.app/routes/"" &amp; LOWER(REGEXREPLACE(REGEXREPLACE(B46, ""[^a-zA-Z0-9 ]"", """"), "" +"", ""_"")) &amp; ""/"")"),"https://tandemrun.app/routes/squantam_point_park/")</f>
        <v>https://tandemrun.app/routes/squantam_point_park/</v>
      </c>
    </row>
    <row r="47">
      <c r="B47" s="2" t="s">
        <v>123</v>
      </c>
      <c r="C47" s="2" t="s">
        <v>120</v>
      </c>
      <c r="D47" s="2" t="s">
        <v>124</v>
      </c>
      <c r="E47" s="2">
        <v>2.52</v>
      </c>
      <c r="F47" s="2" t="s">
        <v>125</v>
      </c>
      <c r="G47" s="3" t="str">
        <f>IFERROR(__xludf.DUMMYFUNCTION("IF(B47="""", """", ""https://tandemrun.app/routes/"" &amp; LOWER(REGEXREPLACE(REGEXREPLACE(B47, ""[^a-zA-Z0-9 ]"", """"), "" +"", ""_"")) &amp; ""/"")"),"https://tandemrun.app/routes/quincy_shore/")</f>
        <v>https://tandemrun.app/routes/quincy_shore/</v>
      </c>
    </row>
    <row r="48">
      <c r="B48" s="2" t="s">
        <v>126</v>
      </c>
      <c r="C48" s="2" t="s">
        <v>127</v>
      </c>
      <c r="D48" s="2" t="s">
        <v>128</v>
      </c>
      <c r="E48" s="2">
        <v>2.79</v>
      </c>
      <c r="F48" s="2" t="s">
        <v>129</v>
      </c>
      <c r="G48" s="3" t="str">
        <f>IFERROR(__xludf.DUMMYFUNCTION("IF(B48="""", """", ""https://tandemrun.app/routes/"" &amp; LOWER(REGEXREPLACE(REGEXREPLACE(B48, ""[^a-zA-Z0-9 ]"", """"), "" +"", ""_"")) &amp; ""/"")"),"https://tandemrun.app/routes/back_river_walk/")</f>
        <v>https://tandemrun.app/routes/back_river_walk/</v>
      </c>
    </row>
    <row r="49">
      <c r="B49" s="2" t="s">
        <v>130</v>
      </c>
      <c r="C49" s="2" t="s">
        <v>127</v>
      </c>
      <c r="D49" s="2" t="s">
        <v>131</v>
      </c>
      <c r="E49" s="2">
        <v>1.35</v>
      </c>
      <c r="F49" s="2" t="s">
        <v>122</v>
      </c>
      <c r="G49" s="3" t="str">
        <f>IFERROR(__xludf.DUMMYFUNCTION("IF(B49="""", """", ""https://tandemrun.app/routes/"" &amp; LOWER(REGEXREPLACE(REGEXREPLACE(B49, ""[^a-zA-Z0-9 ]"", """"), "" +"", ""_"")) &amp; ""/"")"),"https://tandemrun.app/routes/webb_memorial_state_park/")</f>
        <v>https://tandemrun.app/routes/webb_memorial_state_park/</v>
      </c>
    </row>
    <row r="50">
      <c r="B50" s="2" t="s">
        <v>132</v>
      </c>
      <c r="C50" s="2" t="s">
        <v>133</v>
      </c>
      <c r="D50" s="2" t="s">
        <v>134</v>
      </c>
      <c r="E50" s="2">
        <v>3.67</v>
      </c>
      <c r="F50" s="2" t="s">
        <v>122</v>
      </c>
      <c r="G50" s="3" t="str">
        <f>IFERROR(__xludf.DUMMYFUNCTION("IF(B50="""", """", ""https://tandemrun.app/routes/"" &amp; LOWER(REGEXREPLACE(REGEXREPLACE(B50, ""[^a-zA-Z0-9 ]"", """"), "" +"", ""_"")) &amp; ""/"")"),"https://tandemrun.app/routes/worlds_end_loop/")</f>
        <v>https://tandemrun.app/routes/worlds_end_loop/</v>
      </c>
    </row>
    <row r="51">
      <c r="B51" s="2" t="s">
        <v>135</v>
      </c>
      <c r="C51" s="2" t="s">
        <v>133</v>
      </c>
      <c r="D51" s="2" t="s">
        <v>136</v>
      </c>
      <c r="E51" s="2">
        <v>3.32</v>
      </c>
      <c r="F51" s="2" t="s">
        <v>137</v>
      </c>
      <c r="G51" s="3" t="str">
        <f>IFERROR(__xludf.DUMMYFUNCTION("IF(B51="""", """", ""https://tandemrun.app/routes/"" &amp; LOWER(REGEXREPLACE(REGEXREPLACE(B51, ""[^a-zA-Z0-9 ]"", """"), "" +"", ""_"")) &amp; ""/"")"),"https://tandemrun.app/routes/bare_cove_park/")</f>
        <v>https://tandemrun.app/routes/bare_cove_park/</v>
      </c>
    </row>
    <row r="52">
      <c r="B52" s="2" t="s">
        <v>138</v>
      </c>
      <c r="C52" s="2" t="s">
        <v>116</v>
      </c>
      <c r="D52" s="2" t="s">
        <v>139</v>
      </c>
      <c r="E52" s="2">
        <v>2.97</v>
      </c>
      <c r="F52" s="2" t="s">
        <v>129</v>
      </c>
      <c r="G52" s="3" t="str">
        <f>IFERROR(__xludf.DUMMYFUNCTION("IF(B52="""", """", ""https://tandemrun.app/routes/"" &amp; LOWER(REGEXREPLACE(REGEXREPLACE(B52, ""[^a-zA-Z0-9 ]"", """"), "" +"", ""_"")) &amp; ""/"")"),"https://tandemrun.app/routes/dorchester_neponset_river/")</f>
        <v>https://tandemrun.app/routes/dorchester_neponset_river/</v>
      </c>
    </row>
    <row r="53">
      <c r="B53" s="2" t="s">
        <v>140</v>
      </c>
      <c r="C53" s="2" t="s">
        <v>141</v>
      </c>
      <c r="D53" s="2" t="s">
        <v>142</v>
      </c>
      <c r="E53" s="2">
        <v>3.57</v>
      </c>
      <c r="F53" s="2" t="s">
        <v>129</v>
      </c>
      <c r="G53" s="3" t="str">
        <f>IFERROR(__xludf.DUMMYFUNCTION("IF(B53="""", """", ""https://tandemrun.app/routes/"" &amp; LOWER(REGEXREPLACE(REGEXREPLACE(B53, ""[^a-zA-Z0-9 ]"", """"), "" +"", ""_"")) &amp; ""/"")"),"https://tandemrun.app/routes/milton_neponset_river/")</f>
        <v>https://tandemrun.app/routes/milton_neponset_river/</v>
      </c>
    </row>
    <row r="54">
      <c r="B54" s="2" t="s">
        <v>143</v>
      </c>
      <c r="C54" s="2" t="s">
        <v>85</v>
      </c>
      <c r="D54" s="2" t="s">
        <v>144</v>
      </c>
      <c r="E54" s="2">
        <v>3.15</v>
      </c>
      <c r="F54" s="2" t="s">
        <v>129</v>
      </c>
      <c r="G54" s="3" t="str">
        <f>IFERROR(__xludf.DUMMYFUNCTION("IF(B54="""", """", ""https://tandemrun.app/routes/"" &amp; LOWER(REGEXREPLACE(REGEXREPLACE(B54, ""[^a-zA-Z0-9 ]"", """"), "" +"", ""_"")) &amp; ""/"")"),"https://tandemrun.app/routes/mattapan_neponset_river/")</f>
        <v>https://tandemrun.app/routes/mattapan_neponset_river/</v>
      </c>
    </row>
    <row r="55">
      <c r="B55" s="2" t="s">
        <v>145</v>
      </c>
      <c r="C55" s="2" t="s">
        <v>20</v>
      </c>
      <c r="D55" s="2" t="s">
        <v>146</v>
      </c>
      <c r="E55" s="2">
        <v>3.97</v>
      </c>
      <c r="F55" s="2" t="s">
        <v>129</v>
      </c>
      <c r="G55" s="3" t="str">
        <f>IFERROR(__xludf.DUMMYFUNCTION("IF(B55="""", """", ""https://tandemrun.app/routes/"" &amp; LOWER(REGEXREPLACE(REGEXREPLACE(B55, ""[^a-zA-Z0-9 ]"", """"), "" +"", ""_"")) &amp; ""/"")"),"https://tandemrun.app/routes/hyde_park_neponset_river/")</f>
        <v>https://tandemrun.app/routes/hyde_park_neponset_river/</v>
      </c>
    </row>
    <row r="56">
      <c r="B56" s="2" t="s">
        <v>147</v>
      </c>
      <c r="C56" s="2" t="s">
        <v>148</v>
      </c>
      <c r="D56" s="2" t="s">
        <v>149</v>
      </c>
      <c r="E56" s="2">
        <v>2.3</v>
      </c>
      <c r="F56" s="2" t="s">
        <v>14</v>
      </c>
      <c r="G56" s="3" t="str">
        <f>IFERROR(__xludf.DUMMYFUNCTION("IF(B56="""", """", ""https://tandemrun.app/routes/"" &amp; LOWER(REGEXREPLACE(REGEXREPLACE(B56, ""[^a-zA-Z0-9 ]"", """"), "" +"", ""_"")) &amp; ""/"")"),"https://tandemrun.app/routes/pond_meadow_park/")</f>
        <v>https://tandemrun.app/routes/pond_meadow_park/</v>
      </c>
    </row>
    <row r="57">
      <c r="B57" s="2" t="s">
        <v>150</v>
      </c>
      <c r="C57" s="2" t="s">
        <v>151</v>
      </c>
      <c r="D57" s="2" t="s">
        <v>152</v>
      </c>
      <c r="E57" s="2">
        <v>2.67</v>
      </c>
      <c r="F57" s="2" t="s">
        <v>153</v>
      </c>
      <c r="G57" s="3" t="str">
        <f>IFERROR(__xludf.DUMMYFUNCTION("IF(B57="""", """", ""https://tandemrun.app/routes/"" &amp; LOWER(REGEXREPLACE(REGEXREPLACE(B57, ""[^a-zA-Z0-9 ]"", """"), "" +"", ""_"")) &amp; ""/"")"),"https://tandemrun.app/routes/public_garden/")</f>
        <v>https://tandemrun.app/routes/public_garden/</v>
      </c>
    </row>
    <row r="58">
      <c r="B58" s="2" t="s">
        <v>154</v>
      </c>
      <c r="C58" s="2" t="s">
        <v>36</v>
      </c>
      <c r="D58" s="2" t="s">
        <v>155</v>
      </c>
      <c r="E58" s="2">
        <v>2.35</v>
      </c>
      <c r="F58" s="2" t="s">
        <v>14</v>
      </c>
      <c r="G58" s="3" t="str">
        <f>IFERROR(__xludf.DUMMYFUNCTION("IF(B58="""", """", ""https://tandemrun.app/routes/"" &amp; LOWER(REGEXREPLACE(REGEXREPLACE(B58, ""[^a-zA-Z0-9 ]"", """"), "" +"", ""_"")) &amp; ""/"")"),"https://tandemrun.app/routes/west_cambridge_fresh_pond/")</f>
        <v>https://tandemrun.app/routes/west_cambridge_fresh_pond/</v>
      </c>
    </row>
    <row r="59">
      <c r="B59" s="2" t="s">
        <v>156</v>
      </c>
      <c r="C59" s="2" t="s">
        <v>157</v>
      </c>
      <c r="D59" s="2" t="s">
        <v>158</v>
      </c>
      <c r="E59" s="2">
        <v>2.86</v>
      </c>
      <c r="F59" s="2" t="s">
        <v>14</v>
      </c>
      <c r="G59" s="3" t="str">
        <f>IFERROR(__xludf.DUMMYFUNCTION("IF(B59="""", """", ""https://tandemrun.app/routes/"" &amp; LOWER(REGEXREPLACE(REGEXREPLACE(B59, ""[^a-zA-Z0-9 ]"", """"), "" +"", ""_"")) &amp; ""/"")"),"https://tandemrun.app/routes/porter_square_fresh_pond/")</f>
        <v>https://tandemrun.app/routes/porter_square_fresh_pond/</v>
      </c>
    </row>
    <row r="60">
      <c r="B60" s="2" t="s">
        <v>159</v>
      </c>
      <c r="C60" s="2" t="s">
        <v>160</v>
      </c>
      <c r="D60" s="2" t="s">
        <v>161</v>
      </c>
      <c r="E60" s="2">
        <v>3.54</v>
      </c>
      <c r="F60" s="2" t="s">
        <v>162</v>
      </c>
      <c r="G60" s="3" t="str">
        <f>IFERROR(__xludf.DUMMYFUNCTION("IF(B60="""", """", ""https://tandemrun.app/routes/"" &amp; LOWER(REGEXREPLACE(REGEXREPLACE(B60, ""[^a-zA-Z0-9 ]"", """"), "" +"", ""_"")) &amp; ""/"")"),"https://tandemrun.app/routes/minuteman_bikeway/")</f>
        <v>https://tandemrun.app/routes/minuteman_bikeway/</v>
      </c>
    </row>
    <row r="61">
      <c r="B61" s="2" t="s">
        <v>163</v>
      </c>
      <c r="C61" s="2" t="s">
        <v>164</v>
      </c>
      <c r="D61" s="2" t="s">
        <v>165</v>
      </c>
      <c r="E61" s="2">
        <v>1.41</v>
      </c>
      <c r="F61" s="2" t="s">
        <v>166</v>
      </c>
      <c r="G61" s="3" t="str">
        <f>IFERROR(__xludf.DUMMYFUNCTION("IF(B61="""", """", ""https://tandemrun.app/routes/"" &amp; LOWER(REGEXREPLACE(REGEXREPLACE(B61, ""[^a-zA-Z0-9 ]"", """"), "" +"", ""_"")) &amp; ""/"")"),"https://tandemrun.app/routes/argenziano_park/")</f>
        <v>https://tandemrun.app/routes/argenziano_park/</v>
      </c>
    </row>
    <row r="62">
      <c r="B62" s="2" t="s">
        <v>167</v>
      </c>
      <c r="C62" s="2" t="s">
        <v>168</v>
      </c>
      <c r="D62" s="2" t="s">
        <v>169</v>
      </c>
      <c r="E62" s="2">
        <v>3.05</v>
      </c>
      <c r="F62" s="2" t="s">
        <v>170</v>
      </c>
      <c r="G62" s="3" t="str">
        <f>IFERROR(__xludf.DUMMYFUNCTION("IF(B62="""", """", ""https://tandemrun.app/routes/"" &amp; LOWER(REGEXREPLACE(REGEXREPLACE(B62, ""[^a-zA-Z0-9 ]"", """"), "" +"", ""_"")) &amp; ""/"")"),"https://tandemrun.app/routes/cambridge_and_binney_st/")</f>
        <v>https://tandemrun.app/routes/cambridge_and_binney_st/</v>
      </c>
    </row>
    <row r="63">
      <c r="B63" s="2" t="s">
        <v>171</v>
      </c>
      <c r="C63" s="2" t="s">
        <v>172</v>
      </c>
      <c r="D63" s="2" t="s">
        <v>173</v>
      </c>
      <c r="E63" s="2">
        <v>2.28</v>
      </c>
      <c r="F63" s="2" t="s">
        <v>174</v>
      </c>
      <c r="G63" s="3" t="str">
        <f>IFERROR(__xludf.DUMMYFUNCTION("IF(B63="""", """", ""https://tandemrun.app/routes/"" &amp; LOWER(REGEXREPLACE(REGEXREPLACE(B63, ""[^a-zA-Z0-9 ]"", """"), "" +"", ""_"")) &amp; ""/"")"),"https://tandemrun.app/routes/winter_hill_somerville_community_path/")</f>
        <v>https://tandemrun.app/routes/winter_hill_somerville_community_path/</v>
      </c>
    </row>
    <row r="64">
      <c r="B64" s="2" t="s">
        <v>175</v>
      </c>
      <c r="C64" s="2" t="s">
        <v>176</v>
      </c>
      <c r="D64" s="2" t="s">
        <v>177</v>
      </c>
      <c r="E64" s="2">
        <v>2.9</v>
      </c>
      <c r="F64" s="2" t="s">
        <v>174</v>
      </c>
      <c r="G64" s="3" t="str">
        <f>IFERROR(__xludf.DUMMYFUNCTION("IF(B64="""", """", ""https://tandemrun.app/routes/"" &amp; LOWER(REGEXREPLACE(REGEXREPLACE(B64, ""[^a-zA-Z0-9 ]"", """"), "" +"", ""_"")) &amp; ""/"")"),"https://tandemrun.app/routes/davis_square_somerville_community_path/")</f>
        <v>https://tandemrun.app/routes/davis_square_somerville_community_path/</v>
      </c>
    </row>
    <row r="65">
      <c r="B65" s="2" t="s">
        <v>178</v>
      </c>
      <c r="C65" s="2" t="s">
        <v>179</v>
      </c>
      <c r="D65" s="2" t="s">
        <v>180</v>
      </c>
      <c r="E65" s="2">
        <v>2.46</v>
      </c>
      <c r="F65" s="2" t="s">
        <v>174</v>
      </c>
      <c r="G65" s="3" t="str">
        <f>IFERROR(__xludf.DUMMYFUNCTION("IF(B65="""", """", ""https://tandemrun.app/routes/"" &amp; LOWER(REGEXREPLACE(REGEXREPLACE(B65, ""[^a-zA-Z0-9 ]"", """"), "" +"", ""_"")) &amp; ""/"")"),"https://tandemrun.app/routes/magoun_square_somerville_community_path/")</f>
        <v>https://tandemrun.app/routes/magoun_square_somerville_community_path/</v>
      </c>
    </row>
    <row r="66">
      <c r="B66" s="2" t="s">
        <v>181</v>
      </c>
      <c r="C66" s="2" t="s">
        <v>182</v>
      </c>
      <c r="D66" s="2" t="s">
        <v>183</v>
      </c>
      <c r="E66" s="2">
        <v>2.69</v>
      </c>
      <c r="F66" s="2" t="s">
        <v>174</v>
      </c>
      <c r="G66" s="3" t="str">
        <f>IFERROR(__xludf.DUMMYFUNCTION("IF(B66="""", """", ""https://tandemrun.app/routes/"" &amp; LOWER(REGEXREPLACE(REGEXREPLACE(B66, ""[^a-zA-Z0-9 ]"", """"), "" +"", ""_"")) &amp; ""/"")"),"https://tandemrun.app/routes/union_square_somerville_community_path/")</f>
        <v>https://tandemrun.app/routes/union_square_somerville_community_path/</v>
      </c>
    </row>
    <row r="67">
      <c r="B67" s="2" t="s">
        <v>184</v>
      </c>
      <c r="C67" s="2" t="s">
        <v>185</v>
      </c>
      <c r="D67" s="2" t="s">
        <v>186</v>
      </c>
      <c r="E67" s="2">
        <v>2.4</v>
      </c>
      <c r="F67" s="2" t="s">
        <v>129</v>
      </c>
      <c r="G67" s="3" t="str">
        <f>IFERROR(__xludf.DUMMYFUNCTION("IF(B67="""", """", ""https://tandemrun.app/routes/"" &amp; LOWER(REGEXREPLACE(REGEXREPLACE(B67, ""[^a-zA-Z0-9 ]"", """"), "" +"", ""_"")) &amp; ""/"")"),"https://tandemrun.app/routes/assembly_row_loop/")</f>
        <v>https://tandemrun.app/routes/assembly_row_loop/</v>
      </c>
    </row>
    <row r="68">
      <c r="B68" s="2" t="s">
        <v>187</v>
      </c>
      <c r="C68" s="2" t="s">
        <v>188</v>
      </c>
      <c r="D68" s="2" t="s">
        <v>189</v>
      </c>
      <c r="E68" s="2">
        <v>2.68</v>
      </c>
      <c r="F68" s="2" t="s">
        <v>129</v>
      </c>
      <c r="G68" s="3" t="str">
        <f>IFERROR(__xludf.DUMMYFUNCTION("IF(B68="""", """", ""https://tandemrun.app/routes/"" &amp; LOWER(REGEXREPLACE(REGEXREPLACE(B68, ""[^a-zA-Z0-9 ]"", """"), "" +"", ""_"")) &amp; ""/"")"),"https://tandemrun.app/routes/mystic_river_loop/")</f>
        <v>https://tandemrun.app/routes/mystic_river_loop/</v>
      </c>
    </row>
    <row r="69">
      <c r="B69" s="2" t="s">
        <v>190</v>
      </c>
      <c r="C69" s="2" t="s">
        <v>191</v>
      </c>
      <c r="D69" s="2" t="s">
        <v>192</v>
      </c>
      <c r="E69" s="2">
        <v>2.96</v>
      </c>
      <c r="F69" s="2" t="s">
        <v>122</v>
      </c>
      <c r="G69" s="3" t="str">
        <f>IFERROR(__xludf.DUMMYFUNCTION("IF(B69="""", """", ""https://tandemrun.app/routes/"" &amp; LOWER(REGEXREPLACE(REGEXREPLACE(B69, ""[^a-zA-Z0-9 ]"", """"), "" +"", ""_"")) &amp; ""/"")"),"https://tandemrun.app/routes/pine_bank_park/")</f>
        <v>https://tandemrun.app/routes/pine_bank_park/</v>
      </c>
    </row>
  </sheetData>
  <drawing r:id="rId1"/>
</worksheet>
</file>